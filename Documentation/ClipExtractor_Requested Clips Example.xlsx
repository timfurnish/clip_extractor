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<sst xmlns="http://schemas.openxmlformats.org/spreadsheetml/2006/main" count="101" uniqueCount="81">
  <si>
    <t>TITLE: AI Beyond LLMS</t>
  </si>
  <si>
    <t>Rust Cohle.mp3</t>
  </si>
  <si>
    <t>Link</t>
  </si>
  <si>
    <t>Media Type</t>
  </si>
  <si>
    <t>VIDEO NAME</t>
  </si>
  <si>
    <t>Timeframe</t>
  </si>
  <si>
    <t>Duration</t>
  </si>
  <si>
    <t xml:space="preserve">Description/Summary </t>
  </si>
  <si>
    <t>Added text/content?</t>
  </si>
  <si>
    <t>Dialogue eg.:("begin with... end with"</t>
  </si>
  <si>
    <t>Ergo title frame</t>
  </si>
  <si>
    <t>Segment 1: The Current Hype Cycle</t>
  </si>
  <si>
    <t>Rockefeller's Ruchir Sharma: AI spending is driving U.S. markets and economy</t>
  </si>
  <si>
    <t>Video</t>
  </si>
  <si>
    <t>0:08-0:12</t>
  </si>
  <si>
    <t>America is one big bet on AI</t>
  </si>
  <si>
    <t>"America...AI"</t>
  </si>
  <si>
    <t>Will AI Save the Economy</t>
  </si>
  <si>
    <t>Video 540p</t>
  </si>
  <si>
    <t>1:24-1:31</t>
  </si>
  <si>
    <t>AI Capex</t>
  </si>
  <si>
    <t>"last... spending"</t>
  </si>
  <si>
    <t>Is a bubble forming as AI investments drive economic growth?</t>
  </si>
  <si>
    <t xml:space="preserve">1:49-1:58 &amp; 2:09-2:16 </t>
  </si>
  <si>
    <t>"since...exploded" &amp; "why...services"</t>
  </si>
  <si>
    <t>4:43- 4:52</t>
  </si>
  <si>
    <t>AI productivity</t>
  </si>
  <si>
    <t>"The US...1%"</t>
  </si>
  <si>
    <t>Segment 2: LLMs are name of the game</t>
  </si>
  <si>
    <t>The AI Frontier-More than LLMs</t>
  </si>
  <si>
    <t>0:00-0:04</t>
  </si>
  <si>
    <t>LLMs 2022</t>
  </si>
  <si>
    <t>"large...2022"</t>
  </si>
  <si>
    <t>LLMs</t>
  </si>
  <si>
    <t>0:12-0:24</t>
  </si>
  <si>
    <t>LLMs changed the world</t>
  </si>
  <si>
    <t>"over...general</t>
  </si>
  <si>
    <t>Chatbots</t>
  </si>
  <si>
    <t>0:22-0:26</t>
  </si>
  <si>
    <t>Chatbots excitement</t>
  </si>
  <si>
    <r>
      <rPr>
        <rFont val="Arial"/>
      </rPr>
      <t xml:space="preserve">Overlay with the following headlines: </t>
    </r>
    <r>
      <rPr>
        <rFont val="Arial"/>
        <color rgb="FF1155CC"/>
        <u/>
      </rPr>
      <t>1</t>
    </r>
    <r>
      <rPr>
        <rFont val="Arial"/>
      </rPr>
      <t xml:space="preserve">, </t>
    </r>
    <r>
      <rPr>
        <rFont val="Arial"/>
        <color rgb="FF1155CC"/>
        <u/>
      </rPr>
      <t>2</t>
    </r>
    <r>
      <rPr>
        <rFont val="Arial"/>
      </rPr>
      <t xml:space="preserve">, </t>
    </r>
    <r>
      <rPr>
        <rFont val="Arial"/>
        <color rgb="FF1155CC"/>
        <u/>
      </rPr>
      <t>3</t>
    </r>
    <r>
      <rPr>
        <rFont val="Arial"/>
      </rPr>
      <t xml:space="preserve">, </t>
    </r>
    <r>
      <rPr>
        <rFont val="Arial"/>
        <color rgb="FF1155CC"/>
        <u/>
      </rPr>
      <t>4</t>
    </r>
    <r>
      <rPr>
        <rFont val="Arial"/>
      </rPr>
      <t xml:space="preserve">, </t>
    </r>
    <r>
      <rPr>
        <rFont val="Arial"/>
        <color rgb="FF1155CC"/>
        <u/>
      </rPr>
      <t>5</t>
    </r>
    <r>
      <rPr>
        <rFont val="Arial"/>
      </rPr>
      <t xml:space="preserve">, </t>
    </r>
  </si>
  <si>
    <t>"This..years"</t>
  </si>
  <si>
    <t>Segment 3: The next wave could be any number of things</t>
  </si>
  <si>
    <t>Nividia's AI Revolution</t>
  </si>
  <si>
    <t>1:35-1:44</t>
  </si>
  <si>
    <t>LLMs != solution</t>
  </si>
  <si>
    <t>"large...AI"</t>
  </si>
  <si>
    <t>Meta's AI boss says he's done with LLMs</t>
  </si>
  <si>
    <t>2:46-2:52</t>
  </si>
  <si>
    <t>If not LLMs what?</t>
  </si>
  <si>
    <t>"but...is it"</t>
  </si>
  <si>
    <t>The Next Big Leap in AI</t>
  </si>
  <si>
    <t xml:space="preserve"> </t>
  </si>
  <si>
    <t>4:13 - 4:23</t>
  </si>
  <si>
    <t>LQMs &gt; LLMs</t>
  </si>
  <si>
    <t>"the next...numerical side"</t>
  </si>
  <si>
    <t>Josh Wolfe of Lux Capital on Turning Sci-Fi into Sci-Fact</t>
  </si>
  <si>
    <t>7:01-7:05 &amp; 7:08-7:13</t>
  </si>
  <si>
    <t>What's next in AI</t>
  </si>
  <si>
    <t>"I think...years" &amp; "is in...robotics"</t>
  </si>
  <si>
    <t>1:18 - 1:33</t>
  </si>
  <si>
    <t>AI in medicine</t>
  </si>
  <si>
    <t>"In medicine...outcomes</t>
  </si>
  <si>
    <t>AI is About to get Physical</t>
  </si>
  <si>
    <t>1:03-1:12</t>
  </si>
  <si>
    <t>AI about to get physical</t>
  </si>
  <si>
    <t>"the lines...physical"</t>
  </si>
  <si>
    <t>Introducing: Bolt &amp; Bolt-M</t>
  </si>
  <si>
    <t>2:01-2:07</t>
  </si>
  <si>
    <t>AI Warfare</t>
  </si>
  <si>
    <t>Jonathan Frankle Data+AI Summit</t>
  </si>
  <si>
    <t>12:49-13:02</t>
  </si>
  <si>
    <t>AI Agents</t>
  </si>
  <si>
    <t>"in the...seemlessly"</t>
  </si>
  <si>
    <t>Gemini Robotics 1.5: Using agentic capabilities</t>
  </si>
  <si>
    <t>0:21-0:54</t>
  </si>
  <si>
    <t>AI Agents &amp; Robotics</t>
  </si>
  <si>
    <t>"Hi...complete"</t>
  </si>
  <si>
    <t>19:05-19:14</t>
  </si>
  <si>
    <t>What we can learn</t>
  </si>
  <si>
    <t>"instead...today"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</si>
</sst>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9.0"/>
      <color theme="1"/>
      <name val="Arial"/>
    </font>
    <font>
      <i/>
      <color theme="1"/>
      <name val="Arial"/>
    </font>
    <font>
      <b/>
      <u/>
      <color rgb="FF1155CC"/>
      <name val="Arial"/>
    </font>
    <font>
      <b/>
      <u/>
      <color rgb="FF1155CC"/>
      <name val="Roboto"/>
    </font>
    <font>
      <b/>
      <u/>
      <color rgb="FF1155CC"/>
      <name val="Arial"/>
    </font>
    <font>
      <u/>
      <color rgb="FF0000FF"/>
      <name val="Arial"/>
    </font>
    <font>
      <b/>
      <u/>
      <color rgb="FF1155CC"/>
      <name val="Arial"/>
    </font>
    <font>
      <b/>
      <color rgb="FF0F0F0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4" xfId="0" applyAlignment="1" applyFont="1" applyNumberForma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0" fillId="3" fontId="1" numFmtId="0" xfId="0" applyAlignment="1" applyFill="1" applyFont="1">
      <alignment shrinkToFit="0" vertical="bottom" wrapText="1"/>
    </xf>
    <xf borderId="0" fillId="3" fontId="1" numFmtId="4" xfId="0" applyAlignment="1" applyFont="1" applyNumberFormat="1">
      <alignment horizontal="center" shrinkToFit="0" vertical="bottom" wrapText="1"/>
    </xf>
    <xf borderId="0" fillId="4" fontId="1" numFmtId="0" xfId="0" applyAlignment="1" applyFill="1" applyFont="1">
      <alignment shrinkToFit="0" vertical="bottom" wrapText="1"/>
    </xf>
    <xf borderId="0" fillId="4" fontId="4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4" fontId="2" numFmtId="4" xfId="0" applyAlignment="1" applyFont="1" applyNumberFormat="1">
      <alignment vertical="bottom"/>
    </xf>
    <xf borderId="0" fillId="4" fontId="2" numFmtId="4" xfId="0" applyAlignment="1" applyFont="1" applyNumberForma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5" fontId="2" numFmtId="0" xfId="0" applyAlignment="1" applyFill="1" applyFon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0"/>
    </xf>
    <xf borderId="0" fillId="5" fontId="6" numFmtId="0" xfId="0" applyAlignment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5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eBEIKSwMlck" TargetMode="External"/><Relationship Id="rId10" Type="http://schemas.openxmlformats.org/officeDocument/2006/relationships/hyperlink" Target="https://www.youtube.com/watch?v=p1QXZHV4jkM" TargetMode="External"/><Relationship Id="rId13" Type="http://schemas.openxmlformats.org/officeDocument/2006/relationships/hyperlink" Target="https://www.youtube.com/watch?v=9r3YdMFjNZY" TargetMode="External"/><Relationship Id="rId12" Type="http://schemas.openxmlformats.org/officeDocument/2006/relationships/hyperlink" Target="https://www.youtube.com/watch?v=ATz-qVlmaj8&amp;t=417s" TargetMode="External"/><Relationship Id="rId1" Type="http://schemas.openxmlformats.org/officeDocument/2006/relationships/hyperlink" Target="https://www.youtube.com/watch?v=ckn04X_2vlQ" TargetMode="External"/><Relationship Id="rId2" Type="http://schemas.openxmlformats.org/officeDocument/2006/relationships/hyperlink" Target="https://www.facebook.com/fareedzakaria/videos/will-ai-save-the-economy-or-is-it-a-bubble-waiting-to-pop-fareed-asked-journalis/2230865427341970/" TargetMode="External"/><Relationship Id="rId3" Type="http://schemas.openxmlformats.org/officeDocument/2006/relationships/hyperlink" Target="https://www.youtube.com/watch?v=AGZn1HKjkdM" TargetMode="External"/><Relationship Id="rId4" Type="http://schemas.openxmlformats.org/officeDocument/2006/relationships/hyperlink" Target="https://www.youtube.com/watch?v=ckn04X_2vlQ" TargetMode="External"/><Relationship Id="rId9" Type="http://schemas.openxmlformats.org/officeDocument/2006/relationships/hyperlink" Target="https://www.youtube.com/watch?v=pE9VlF8paGY" TargetMode="External"/><Relationship Id="rId15" Type="http://schemas.openxmlformats.org/officeDocument/2006/relationships/hyperlink" Target="https://www.youtube.com/watch?v=EEXI6r08908&amp;t=1s" TargetMode="External"/><Relationship Id="rId14" Type="http://schemas.openxmlformats.org/officeDocument/2006/relationships/hyperlink" Target="http://youtube.com/watch?v=3WZNxNr7kS8" TargetMode="External"/><Relationship Id="rId17" Type="http://schemas.openxmlformats.org/officeDocument/2006/relationships/hyperlink" Target="https://www.youtube.com/watch?v=AMRxbIO04kQ" TargetMode="External"/><Relationship Id="rId16" Type="http://schemas.openxmlformats.org/officeDocument/2006/relationships/hyperlink" Target="https://www.youtube.com/watch?v=AoyAuPvIago" TargetMode="External"/><Relationship Id="rId5" Type="http://schemas.openxmlformats.org/officeDocument/2006/relationships/hyperlink" Target="https://www.youtube.com/watch?v=9r3YdMFjNZY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youtube.com/watch?v=osKyvYJ3PRM" TargetMode="External"/><Relationship Id="rId18" Type="http://schemas.openxmlformats.org/officeDocument/2006/relationships/hyperlink" Target="https://www.youtube.com/watch?v=AoyAuPvIago" TargetMode="External"/><Relationship Id="rId7" Type="http://schemas.openxmlformats.org/officeDocument/2006/relationships/hyperlink" Target="https://www.youtube.com/watch?v=dctcfxw13AQ" TargetMode="External"/><Relationship Id="rId8" Type="http://schemas.openxmlformats.org/officeDocument/2006/relationships/hyperlink" Target="https://www.ft.com/content/045dac3f-eb78-469d-a3ef-3495aefa6e8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6" max="6" width="18.38"/>
    <col customWidth="1" min="8" max="8" width="40.25"/>
  </cols>
  <sheetData>
    <row r="1">
      <c r="A1" s="1" t="s">
        <v>0</v>
      </c>
      <c r="B1" s="2" t="s">
        <v>1</v>
      </c>
      <c r="C1" s="2"/>
      <c r="D1" s="2"/>
      <c r="E1" s="3" t="str">
        <f>TEXT(INT(E2/60), "00") &amp; ":" &amp; TEXT(MOD(E2, 60), "00")</f>
        <v>02:55</v>
      </c>
      <c r="F1" s="2"/>
      <c r="G1" s="2"/>
      <c r="H1" s="2"/>
    </row>
    <row r="2">
      <c r="A2" s="2"/>
      <c r="B2" s="2"/>
      <c r="C2" s="2"/>
      <c r="D2" s="2"/>
      <c r="E2" s="4">
        <f>SUM(E4:E208)</f>
        <v>175</v>
      </c>
      <c r="F2" s="2"/>
      <c r="G2" s="2"/>
      <c r="H2" s="2"/>
    </row>
    <row r="3">
      <c r="A3" s="5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5" t="s">
        <v>7</v>
      </c>
      <c r="G3" s="5" t="s">
        <v>8</v>
      </c>
      <c r="H3" s="5" t="s">
        <v>9</v>
      </c>
    </row>
    <row r="4">
      <c r="A4" s="7" t="s">
        <v>0</v>
      </c>
      <c r="B4" s="8" t="s">
        <v>10</v>
      </c>
      <c r="C4" s="9"/>
      <c r="D4" s="9"/>
      <c r="E4" s="10"/>
      <c r="F4" s="9"/>
      <c r="G4" s="9"/>
      <c r="H4" s="9"/>
    </row>
    <row r="5">
      <c r="A5" s="7" t="s">
        <v>11</v>
      </c>
      <c r="B5" s="9"/>
      <c r="C5" s="9"/>
      <c r="D5" s="9"/>
      <c r="E5" s="11">
        <f>IFERROR(__xludf.DUMMYFUNCTION("SUM(ARRAYFORMULA(
  IFERROR(
    LET(
      ranges, TRIM(SPLIT(D5,""&amp;"")),
      extracted, REGEXEXTRACT(ranges, ""\d+(?::\d+){1,3}\s*-\s*\d+(?::\d+){1,3}""),
      start_times, TRIM(LEFT(extracted, FIND(""-"", extracted) - 1)),
      end_times, TRIM(RIGH"&amp;"T(extracted, LEN(extracted) - FIND(""-"", extracted))),
      start_total, ARRAYFORMULA(
        IF(LEN(start_times) - LEN(SUBSTITUTE(start_times, "":"", """")) = 2,
          TIMEVALUE(start_times) * 86400,
          TIMEVALUE(""0:"" &amp; start_times"&amp;") * 86400
        )
      ),
      end_total, ARRAYFORMULA(
        IF(LEN(end_times) - LEN(SUBSTITUTE(end_times, "":"", """")) = 2,
          TIMEVALUE(end_times) * 86400,
          TIMEVALUE(""0:"" &amp; end_times) * 86400
        )
      ),
 "&amp;"     end_total - start_total
    ),
    0
  )
))"),0.0)</f>
        <v>0</v>
      </c>
      <c r="F5" s="9"/>
      <c r="G5" s="9"/>
      <c r="H5" s="9"/>
    </row>
    <row r="6">
      <c r="A6" s="12" t="s">
        <v>12</v>
      </c>
      <c r="B6" s="13" t="s">
        <v>13</v>
      </c>
      <c r="C6" s="14"/>
      <c r="D6" s="13" t="s">
        <v>14</v>
      </c>
      <c r="E6" s="15">
        <f>IFERROR(__xludf.DUMMYFUNCTION("SUM(ARRAYFORMULA(
  IFERROR(
    LET(
      ranges, TRIM(SPLIT(D6,""&amp;"")),
      extracted, REGEXEXTRACT(ranges, ""\d+(?::\d+){1,3}\s*-\s*\d+(?::\d+){1,3}""),
      start_times, TRIM(LEFT(extracted, FIND(""-"", extracted) - 1)),
      end_times, TRIM(RIGH"&amp;"T(extracted, LEN(extracted) - FIND(""-"", extracted))),
      start_total, ARRAYFORMULA(
        IF(LEN(start_times) - LEN(SUBSTITUTE(start_times, "":"", """")) = 2,
          TIMEVALUE(start_times) * 86400,
          TIMEVALUE(""0:"" &amp; start_times"&amp;") * 86400
        )
      ),
      end_total, ARRAYFORMULA(
        IF(LEN(end_times) - LEN(SUBSTITUTE(end_times, "":"", """")) = 2,
          TIMEVALUE(end_times) * 86400,
          TIMEVALUE(""0:"" &amp; end_times) * 86400
        )
      ),
 "&amp;"     end_total - start_total
    ),
    0
  )
))"),4.0)</f>
        <v>4</v>
      </c>
      <c r="F6" s="16" t="s">
        <v>15</v>
      </c>
      <c r="G6" s="2"/>
      <c r="H6" s="2" t="s">
        <v>16</v>
      </c>
    </row>
    <row r="7">
      <c r="A7" s="17" t="s">
        <v>17</v>
      </c>
      <c r="B7" s="2" t="s">
        <v>18</v>
      </c>
      <c r="C7" s="2"/>
      <c r="D7" s="13" t="s">
        <v>19</v>
      </c>
      <c r="E7" s="15">
        <f>IFERROR(__xludf.DUMMYFUNCTION("SUM(ARRAYFORMULA(
  IFERROR(
    LET(
      ranges, TRIM(SPLIT(D7,""&amp;"")),
      extracted, REGEXEXTRACT(ranges, ""\d+(?::\d+){1,3}\s*-\s*\d+(?::\d+){1,3}""),
      start_times, TRIM(LEFT(extracted, FIND(""-"", extracted) - 1)),
      end_times, TRIM(RIGH"&amp;"T(extracted, LEN(extracted) - FIND(""-"", extracted))),
      start_total, ARRAYFORMULA(
        IF(LEN(start_times) - LEN(SUBSTITUTE(start_times, "":"", """")) = 2,
          TIMEVALUE(start_times) * 86400,
          TIMEVALUE(""0:"" &amp; start_times"&amp;") * 86400
        )
      ),
      end_total, ARRAYFORMULA(
        IF(LEN(end_times) - LEN(SUBSTITUTE(end_times, "":"", """")) = 2,
          TIMEVALUE(end_times) * 86400,
          TIMEVALUE(""0:"" &amp; end_times) * 86400
        )
      ),
 "&amp;"     end_total - start_total
    ),
    0
  )
))"),6.999999999999986)</f>
        <v>7</v>
      </c>
      <c r="F7" s="2" t="s">
        <v>20</v>
      </c>
      <c r="G7" s="2"/>
      <c r="H7" s="13" t="s">
        <v>21</v>
      </c>
    </row>
    <row r="8">
      <c r="A8" s="17" t="s">
        <v>22</v>
      </c>
      <c r="B8" s="13" t="s">
        <v>13</v>
      </c>
      <c r="C8" s="2"/>
      <c r="D8" s="13" t="s">
        <v>23</v>
      </c>
      <c r="E8" s="15">
        <f>IFERROR(__xludf.DUMMYFUNCTION("SUM(ARRAYFORMULA(
  IFERROR(
    LET(
      ranges, TRIM(SPLIT(D8,""&amp;"")),
      extracted, REGEXEXTRACT(ranges, ""\d+(?::\d+){1,3}\s*-\s*\d+(?::\d+){1,3}""),
      start_times, TRIM(LEFT(extracted, FIND(""-"", extracted) - 1)),
      end_times, TRIM(RIGH"&amp;"T(extracted, LEN(extracted) - FIND(""-"", extracted))),
      start_total, ARRAYFORMULA(
        IF(LEN(start_times) - LEN(SUBSTITUTE(start_times, "":"", """")) = 2,
          TIMEVALUE(start_times) * 86400,
          TIMEVALUE(""0:"" &amp; start_times"&amp;") * 86400
        )
      ),
      end_total, ARRAYFORMULA(
        IF(LEN(end_times) - LEN(SUBSTITUTE(end_times, "":"", """")) = 2,
          TIMEVALUE(end_times) * 86400,
          TIMEVALUE(""0:"" &amp; end_times) * 86400
        )
      ),
 "&amp;"     end_total - start_total
    ),
    0
  )
))"),16.0)</f>
        <v>16</v>
      </c>
      <c r="F8" s="2" t="s">
        <v>20</v>
      </c>
      <c r="G8" s="2"/>
      <c r="H8" s="13" t="s">
        <v>24</v>
      </c>
    </row>
    <row r="9">
      <c r="A9" s="12" t="s">
        <v>12</v>
      </c>
      <c r="B9" s="13" t="s">
        <v>13</v>
      </c>
      <c r="C9" s="2"/>
      <c r="D9" s="2" t="s">
        <v>25</v>
      </c>
      <c r="E9" s="15">
        <f>IFERROR(__xludf.DUMMYFUNCTION("SUM(ARRAYFORMULA(
  IFERROR(
    LET(
      ranges, TRIM(SPLIT(D9,""&amp;"")),
      extracted, REGEXEXTRACT(ranges, ""\d+(?::\d+){1,3}\s*-\s*\d+(?::\d+){1,3}""),
      start_times, TRIM(LEFT(extracted, FIND(""-"", extracted) - 1)),
      end_times, TRIM(RIGH"&amp;"T(extracted, LEN(extracted) - FIND(""-"", extracted))),
      start_total, ARRAYFORMULA(
        IF(LEN(start_times) - LEN(SUBSTITUTE(start_times, "":"", """")) = 2,
          TIMEVALUE(start_times) * 86400,
          TIMEVALUE(""0:"" &amp; start_times"&amp;") * 86400
        )
      ),
      end_total, ARRAYFORMULA(
        IF(LEN(end_times) - LEN(SUBSTITUTE(end_times, "":"", """")) = 2,
          TIMEVALUE(end_times) * 86400,
          TIMEVALUE(""0:"" &amp; end_times) * 86400
        )
      ),
 "&amp;"     end_total - start_total
    ),
    0
  )
))"),9.0)</f>
        <v>9</v>
      </c>
      <c r="F9" s="16" t="s">
        <v>26</v>
      </c>
      <c r="G9" s="2"/>
      <c r="H9" s="13" t="s">
        <v>27</v>
      </c>
    </row>
    <row r="10">
      <c r="A10" s="2"/>
      <c r="B10" s="2"/>
      <c r="C10" s="2"/>
      <c r="D10" s="2"/>
      <c r="E10" s="15">
        <f>IFERROR(__xludf.DUMMYFUNCTION("SUM(ARRAYFORMULA(
  IFERROR(
    LET(
      ranges, TRIM(SPLIT(D10,""&amp;"")),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))"),0.0)</f>
        <v>0</v>
      </c>
      <c r="F10" s="2"/>
      <c r="G10" s="2"/>
      <c r="H10" s="2"/>
    </row>
    <row r="11">
      <c r="A11" s="7" t="s">
        <v>28</v>
      </c>
      <c r="B11" s="9"/>
      <c r="C11" s="9"/>
      <c r="D11" s="9"/>
      <c r="E11" s="11">
        <f>IFERROR(__xludf.DUMMYFUNCTION("SUM(ARRAYFORMULA(
  IFERROR(
    LET(
      ranges, TRIM(SPLIT(D11,""&amp;"")),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))"),0.0)</f>
        <v>0</v>
      </c>
      <c r="F11" s="9"/>
      <c r="G11" s="9"/>
      <c r="H11" s="9"/>
    </row>
    <row r="12">
      <c r="A12" s="12" t="s">
        <v>29</v>
      </c>
      <c r="B12" s="13" t="s">
        <v>13</v>
      </c>
      <c r="C12" s="2"/>
      <c r="D12" s="2" t="s">
        <v>30</v>
      </c>
      <c r="E12" s="15">
        <f>IFERROR(__xludf.DUMMYFUNCTION("SUM(ARRAYFORMULA(
  IFERROR(
    LET(
      ranges, TRIM(SPLIT(D12,""&amp;"")),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))"),4.0)</f>
        <v>4</v>
      </c>
      <c r="F12" s="2" t="s">
        <v>31</v>
      </c>
      <c r="G12" s="2"/>
      <c r="H12" s="2" t="s">
        <v>32</v>
      </c>
    </row>
    <row r="13">
      <c r="A13" s="18" t="s">
        <v>33</v>
      </c>
      <c r="B13" s="13" t="s">
        <v>13</v>
      </c>
      <c r="C13" s="14"/>
      <c r="D13" s="13" t="s">
        <v>34</v>
      </c>
      <c r="E13" s="15">
        <f>IFERROR(__xludf.DUMMYFUNCTION("SUM(ARRAYFORMULA(
  IFERROR(
    LET(
      ranges, TRIM(SPLIT(D13,""&amp;"")),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))"),12.0)</f>
        <v>12</v>
      </c>
      <c r="F13" s="13" t="s">
        <v>35</v>
      </c>
      <c r="G13" s="2"/>
      <c r="H13" s="13" t="s">
        <v>36</v>
      </c>
    </row>
    <row r="14">
      <c r="A14" s="18" t="s">
        <v>37</v>
      </c>
      <c r="B14" s="13" t="s">
        <v>13</v>
      </c>
      <c r="C14" s="2"/>
      <c r="D14" s="13" t="s">
        <v>38</v>
      </c>
      <c r="E14" s="15">
        <f>IFERROR(__xludf.DUMMYFUNCTION("SUM(ARRAYFORMULA(
  IFERROR(
    LET(
      ranges, TRIM(SPLIT(D14,""&amp;"")),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))"),4.000000000000007)</f>
        <v>4</v>
      </c>
      <c r="F14" s="13" t="s">
        <v>39</v>
      </c>
      <c r="G14" s="19" t="s">
        <v>40</v>
      </c>
      <c r="H14" s="13" t="s">
        <v>41</v>
      </c>
    </row>
    <row r="15">
      <c r="A15" s="2"/>
      <c r="B15" s="2"/>
      <c r="C15" s="2"/>
      <c r="D15" s="2"/>
      <c r="E15" s="15">
        <f>IFERROR(__xludf.DUMMYFUNCTION("SUM(ARRAYFORMULA(
  IFERROR(
    LET(
      ranges, TRIM(SPLIT(D15,""&amp;"")),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))"),0.0)</f>
        <v>0</v>
      </c>
      <c r="F15" s="2"/>
      <c r="G15" s="2"/>
      <c r="H15" s="2"/>
    </row>
    <row r="16">
      <c r="A16" s="2"/>
      <c r="B16" s="2"/>
      <c r="C16" s="2"/>
      <c r="D16" s="2"/>
      <c r="E16" s="15">
        <f>IFERROR(__xludf.DUMMYFUNCTION("SUM(ARRAYFORMULA(
  IFERROR(
    LET(
      ranges, TRIM(SPLIT(D16,""&amp;"")),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))"),0.0)</f>
        <v>0</v>
      </c>
      <c r="F16" s="2"/>
      <c r="G16" s="2"/>
      <c r="H16" s="2"/>
    </row>
    <row r="17">
      <c r="A17" s="7" t="s">
        <v>42</v>
      </c>
      <c r="B17" s="9"/>
      <c r="C17" s="9"/>
      <c r="D17" s="9"/>
      <c r="E17" s="11">
        <f>IFERROR(__xludf.DUMMYFUNCTION("SUM(ARRAYFORMULA(
  IFERROR(
    LET(
      ranges, TRIM(SPLIT(D17,""&amp;"")),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))"),0.0)</f>
        <v>0</v>
      </c>
      <c r="F17" s="9"/>
      <c r="G17" s="9"/>
      <c r="H17" s="9"/>
    </row>
    <row r="18">
      <c r="A18" s="20" t="s">
        <v>43</v>
      </c>
      <c r="B18" s="13" t="s">
        <v>13</v>
      </c>
      <c r="C18" s="14"/>
      <c r="D18" s="13" t="s">
        <v>44</v>
      </c>
      <c r="E18" s="15">
        <f>IFERROR(__xludf.DUMMYFUNCTION("SUM(ARRAYFORMULA(
  IFERROR(
    LET(
      ranges, TRIM(SPLIT(D18,""&amp;"")),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))"),9.000000000000014)</f>
        <v>9</v>
      </c>
      <c r="F18" s="16" t="s">
        <v>45</v>
      </c>
      <c r="G18" s="2"/>
      <c r="H18" s="13" t="s">
        <v>46</v>
      </c>
    </row>
    <row r="19">
      <c r="A19" s="18" t="s">
        <v>47</v>
      </c>
      <c r="B19" s="13" t="s">
        <v>13</v>
      </c>
      <c r="C19" s="2"/>
      <c r="D19" s="13" t="s">
        <v>48</v>
      </c>
      <c r="E19" s="15">
        <f>IFERROR(__xludf.DUMMYFUNCTION("SUM(ARRAYFORMULA(
  IFERROR(
    LET(
      ranges, TRIM(SPLIT(D19,""&amp;"")),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))"),6.0)</f>
        <v>6</v>
      </c>
      <c r="F19" s="16" t="s">
        <v>49</v>
      </c>
      <c r="G19" s="2"/>
      <c r="H19" s="13" t="s">
        <v>50</v>
      </c>
    </row>
    <row r="20">
      <c r="A20" s="18" t="s">
        <v>51</v>
      </c>
      <c r="B20" s="13" t="s">
        <v>13</v>
      </c>
      <c r="C20" s="21" t="s">
        <v>52</v>
      </c>
      <c r="D20" s="13" t="s">
        <v>53</v>
      </c>
      <c r="E20" s="15">
        <f>IFERROR(__xludf.DUMMYFUNCTION("SUM(ARRAYFORMULA(
  IFERROR(
    LET(
      ranges, TRIM(SPLIT(D20,""&amp;"")),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))"),10.0)</f>
        <v>10</v>
      </c>
      <c r="F20" s="16" t="s">
        <v>54</v>
      </c>
      <c r="G20" s="2"/>
      <c r="H20" s="13" t="s">
        <v>55</v>
      </c>
    </row>
    <row r="21">
      <c r="A21" s="17" t="s">
        <v>56</v>
      </c>
      <c r="B21" s="13" t="s">
        <v>13</v>
      </c>
      <c r="C21" s="14"/>
      <c r="D21" s="13" t="s">
        <v>57</v>
      </c>
      <c r="E21" s="15">
        <f>IFERROR(__xludf.DUMMYFUNCTION("SUM(ARRAYFORMULA(
  IFERROR(
    LET(
      ranges, TRIM(SPLIT(D21,""&amp;"")),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))"),8.999999999999943)</f>
        <v>9</v>
      </c>
      <c r="F21" s="16" t="s">
        <v>58</v>
      </c>
      <c r="G21" s="2"/>
      <c r="H21" s="13" t="s">
        <v>59</v>
      </c>
    </row>
    <row r="22">
      <c r="A22" s="18" t="s">
        <v>29</v>
      </c>
      <c r="B22" s="13" t="s">
        <v>13</v>
      </c>
      <c r="C22" s="14"/>
      <c r="D22" s="13" t="s">
        <v>60</v>
      </c>
      <c r="E22" s="15">
        <f>IFERROR(__xludf.DUMMYFUNCTION("SUM(ARRAYFORMULA(
  IFERROR(
    LET(
      ranges, TRIM(SPLIT(D22,""&amp;"")),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))"),15.0)</f>
        <v>15</v>
      </c>
      <c r="F22" s="16" t="s">
        <v>61</v>
      </c>
      <c r="G22" s="2"/>
      <c r="H22" s="13" t="s">
        <v>62</v>
      </c>
    </row>
    <row r="23">
      <c r="A23" s="12" t="s">
        <v>63</v>
      </c>
      <c r="B23" s="13" t="s">
        <v>13</v>
      </c>
      <c r="C23" s="2"/>
      <c r="D23" s="13" t="s">
        <v>64</v>
      </c>
      <c r="E23" s="15">
        <f>IFERROR(__xludf.DUMMYFUNCTION("SUM(ARRAYFORMULA(
  IFERROR(
    LET(
      ranges, TRIM(SPLIT(D23,""&amp;"")),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))"),9.0)</f>
        <v>9</v>
      </c>
      <c r="F23" s="16" t="s">
        <v>65</v>
      </c>
      <c r="G23" s="2"/>
      <c r="H23" s="13" t="s">
        <v>66</v>
      </c>
    </row>
    <row r="24">
      <c r="A24" s="12" t="s">
        <v>67</v>
      </c>
      <c r="B24" s="13" t="s">
        <v>13</v>
      </c>
      <c r="C24" s="14"/>
      <c r="D24" s="13" t="s">
        <v>68</v>
      </c>
      <c r="E24" s="15">
        <f>IFERROR(__xludf.DUMMYFUNCTION("SUM(ARRAYFORMULA(
  IFERROR(
    LET(
      ranges, TRIM(SPLIT(D24,""&amp;"")),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))"),6.0)</f>
        <v>6</v>
      </c>
      <c r="F24" s="16" t="s">
        <v>69</v>
      </c>
      <c r="G24" s="2"/>
      <c r="H24" s="2"/>
    </row>
    <row r="25">
      <c r="A25" s="18" t="s">
        <v>70</v>
      </c>
      <c r="B25" s="13" t="s">
        <v>13</v>
      </c>
      <c r="C25" s="14"/>
      <c r="D25" s="13" t="s">
        <v>71</v>
      </c>
      <c r="E25" s="15">
        <f>IFERROR(__xludf.DUMMYFUNCTION("SUM(ARRAYFORMULA(
  IFERROR(
    LET(
      ranges, TRIM(SPLIT(D25,""&amp;"")),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))"),13.0)</f>
        <v>13</v>
      </c>
      <c r="F25" s="2" t="s">
        <v>72</v>
      </c>
      <c r="G25" s="2"/>
      <c r="H25" s="13" t="s">
        <v>73</v>
      </c>
    </row>
    <row r="26">
      <c r="A26" s="18" t="s">
        <v>74</v>
      </c>
      <c r="B26" s="13" t="s">
        <v>13</v>
      </c>
      <c r="C26" s="2"/>
      <c r="D26" s="2" t="s">
        <v>75</v>
      </c>
      <c r="E26" s="15">
        <f>IFERROR(__xludf.DUMMYFUNCTION("SUM(ARRAYFORMULA(
  IFERROR(
    LET(
      ranges, TRIM(SPLIT(D26,""&amp;"")),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))"),33.0)</f>
        <v>33</v>
      </c>
      <c r="F26" s="16" t="s">
        <v>76</v>
      </c>
      <c r="G26" s="2"/>
      <c r="H26" s="13" t="s">
        <v>77</v>
      </c>
    </row>
    <row r="27">
      <c r="A27" s="18" t="s">
        <v>70</v>
      </c>
      <c r="B27" s="13" t="s">
        <v>13</v>
      </c>
      <c r="C27" s="14"/>
      <c r="D27" s="2" t="s">
        <v>78</v>
      </c>
      <c r="E27" s="15">
        <f>IFERROR(__xludf.DUMMYFUNCTION("SUM(ARRAYFORMULA(
  IFERROR(
    LET(
      ranges, TRIM(SPLIT(D27,""&amp;"")),
      extracted, REGEXEXTRACT(ranges, ""\d+(?::\d+){1,3}\s*-\s*\d+(?::\d+){1,3}""),
      start_times, TRIM(LEFT(extracted, FIND(""-"", extracted) - 1)),
      end_times, TRIM(RIG"&amp;"HT(extracted, LEN(extracted) - FIND(""-"", extracted))),
      start_total, ARRAYFORMULA(
        IF(LEN(start_times) - LEN(SUBSTITUTE(start_times, "":"", """")) = 2,
          TIMEVALUE(start_times) * 86400,
          TIMEVALUE(""0:"" &amp; start_time"&amp;"s) * 86400
        )
      ),
      end_total, ARRAYFORMULA(
        IF(LEN(end_times) - LEN(SUBSTITUTE(end_times, "":"", """")) = 2,
          TIMEVALUE(end_times) * 86400,
          TIMEVALUE(""0:"" &amp; end_times) * 86400
        )
      ),
"&amp;"      end_total - start_total
    ),
    0
  )
))"),9.0)</f>
        <v>9</v>
      </c>
      <c r="F27" s="2" t="s">
        <v>79</v>
      </c>
      <c r="G27" s="2"/>
      <c r="H27" s="13" t="s">
        <v>80</v>
      </c>
    </row>
  </sheetData>
  <hyperlinks>
    <hyperlink r:id="rId1" ref="A6"/>
    <hyperlink r:id="rId2" ref="A7"/>
    <hyperlink r:id="rId3" ref="A8"/>
    <hyperlink r:id="rId4" ref="A9"/>
    <hyperlink r:id="rId5" ref="A12"/>
    <hyperlink r:id="rId6" ref="A13"/>
    <hyperlink r:id="rId7" ref="A14"/>
    <hyperlink r:id="rId8" ref="G14"/>
    <hyperlink r:id="rId9" ref="A18"/>
    <hyperlink r:id="rId10" ref="A19"/>
    <hyperlink r:id="rId11" ref="A20"/>
    <hyperlink r:id="rId12" ref="A21"/>
    <hyperlink r:id="rId13" ref="A22"/>
    <hyperlink r:id="rId14" ref="A23"/>
    <hyperlink r:id="rId15" ref="A24"/>
    <hyperlink r:id="rId16" ref="A25"/>
    <hyperlink r:id="rId17" ref="A26"/>
    <hyperlink r:id="rId18" ref="A27"/>
  </hyperlinks>
  <drawing r:id="rId19"/>
</worksheet>
</file>